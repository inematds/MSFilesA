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Econômicos" sheetId="1" state="visible" r:id="rId1"/>
    <sheet name="Comparativo Normalizado" sheetId="2" state="visible" r:id="rId2"/>
    <sheet name="Aná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1"/>
    </font>
    <font>
      <b val="1"/>
      <color rgb="00FFFFFF"/>
      <sz val="12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do Dólar (R$)</a:t>
            </a:r>
          </a:p>
        </rich>
      </tx>
    </title>
    <plotArea>
      <lineChart>
        <grouping val="standard"/>
        <ser>
          <idx val="0"/>
          <order val="0"/>
          <tx>
            <strRef>
              <f>'Dados Econômicos'!B4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Econômicos'!$A$5:$A$14</f>
            </numRef>
          </cat>
          <val>
            <numRef>
              <f>'Dados Econômicos'!$B$5:$B$14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Cotação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CDI x Inflação (IPCA)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 Econômicos'!C4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'Dados Econômicos'!$A$5:$A$14</f>
            </numRef>
          </cat>
          <val>
            <numRef>
              <f>'Dados Econômicos'!$C$5:$C$14</f>
            </numRef>
          </val>
        </ser>
        <ser>
          <idx val="1"/>
          <order val="1"/>
          <tx>
            <strRef>
              <f>'Dados Econômicos'!D4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'Dados Econômicos'!$A$5:$A$14</f>
            </numRef>
          </cat>
          <val>
            <numRef>
              <f>'Dados Econômicos'!$D$5:$D$14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Percentual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Comparativa (Base 2015 = 100)</a:t>
            </a:r>
          </a:p>
        </rich>
      </tx>
    </title>
    <plotArea>
      <lineChart>
        <grouping val="standard"/>
        <ser>
          <idx val="0"/>
          <order val="0"/>
          <tx>
            <strRef>
              <f>'Comparativo Normalizado'!B3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Normalizado'!$A$4:$A$13</f>
            </numRef>
          </cat>
          <val>
            <numRef>
              <f>'Comparativo Normalizado'!$B$4:$B$13</f>
            </numRef>
          </val>
        </ser>
        <ser>
          <idx val="1"/>
          <order val="1"/>
          <tx>
            <strRef>
              <f>'Comparativo Normalizado'!C3</f>
            </strRef>
          </tx>
          <spPr>
            <a:ln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Normalizado'!$A$4:$A$13</f>
            </numRef>
          </cat>
          <val>
            <numRef>
              <f>'Comparativo Normalizado'!$C$4:$C$13</f>
            </numRef>
          </val>
        </ser>
        <ser>
          <idx val="2"/>
          <order val="2"/>
          <tx>
            <strRef>
              <f>'Comparativo Normalizado'!D3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Normalizado'!$A$4:$A$13</f>
            </numRef>
          </cat>
          <val>
            <numRef>
              <f>'Comparativo Normalizado'!$D$4:$D$13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Evolução Econômica do Brasil (2015-2024)</t>
        </is>
      </c>
    </row>
    <row r="2">
      <c r="A2" s="2" t="inlineStr">
        <is>
          <t>Dólar x CDI x Inflação (IPCA)</t>
        </is>
      </c>
    </row>
    <row r="4">
      <c r="A4" s="3" t="inlineStr">
        <is>
          <t>Ano</t>
        </is>
      </c>
      <c r="B4" s="3" t="inlineStr">
        <is>
          <t>Dólar (R$)</t>
        </is>
      </c>
      <c r="C4" s="3" t="inlineStr">
        <is>
          <t>CDI (%)</t>
        </is>
      </c>
      <c r="D4" s="3" t="inlineStr">
        <is>
          <t>IPCA (%)</t>
        </is>
      </c>
    </row>
    <row r="5">
      <c r="A5" s="4" t="n">
        <v>2015</v>
      </c>
      <c r="B5" s="5" t="n">
        <v>3.9</v>
      </c>
      <c r="C5" s="6" t="n">
        <v>0.1327</v>
      </c>
      <c r="D5" s="6" t="n">
        <v>0.1067</v>
      </c>
    </row>
    <row r="6">
      <c r="A6" s="4" t="n">
        <v>2016</v>
      </c>
      <c r="B6" s="5" t="n">
        <v>3.26</v>
      </c>
      <c r="C6" s="6" t="n">
        <v>0.1402</v>
      </c>
      <c r="D6" s="6" t="n">
        <v>0.0629</v>
      </c>
    </row>
    <row r="7">
      <c r="A7" s="4" t="n">
        <v>2017</v>
      </c>
      <c r="B7" s="5" t="n">
        <v>3.31</v>
      </c>
      <c r="C7" s="6" t="n">
        <v>0.09939999999999999</v>
      </c>
      <c r="D7" s="6" t="n">
        <v>0.0295</v>
      </c>
    </row>
    <row r="8">
      <c r="A8" s="4" t="n">
        <v>2018</v>
      </c>
      <c r="B8" s="5" t="n">
        <v>3.87</v>
      </c>
      <c r="C8" s="6" t="n">
        <v>0.0643</v>
      </c>
      <c r="D8" s="6" t="n">
        <v>0.0375</v>
      </c>
    </row>
    <row r="9">
      <c r="A9" s="4" t="n">
        <v>2019</v>
      </c>
      <c r="B9" s="5" t="n">
        <v>4.03</v>
      </c>
      <c r="C9" s="6" t="n">
        <v>0.0596</v>
      </c>
      <c r="D9" s="6" t="n">
        <v>0.0431</v>
      </c>
    </row>
    <row r="10">
      <c r="A10" s="4" t="n">
        <v>2020</v>
      </c>
      <c r="B10" s="5" t="n">
        <v>5.2</v>
      </c>
      <c r="C10" s="6" t="n">
        <v>0.0276</v>
      </c>
      <c r="D10" s="6" t="n">
        <v>0.0452</v>
      </c>
    </row>
    <row r="11">
      <c r="A11" s="4" t="n">
        <v>2021</v>
      </c>
      <c r="B11" s="5" t="n">
        <v>5.58</v>
      </c>
      <c r="C11" s="6" t="n">
        <v>0.0442</v>
      </c>
      <c r="D11" s="6" t="n">
        <v>0.1006</v>
      </c>
    </row>
    <row r="12">
      <c r="A12" s="4" t="n">
        <v>2022</v>
      </c>
      <c r="B12" s="5" t="n">
        <v>5.22</v>
      </c>
      <c r="C12" s="6" t="n">
        <v>0.1239</v>
      </c>
      <c r="D12" s="6" t="n">
        <v>0.0579</v>
      </c>
    </row>
    <row r="13">
      <c r="A13" s="4" t="n">
        <v>2023</v>
      </c>
      <c r="B13" s="5" t="n">
        <v>4.85</v>
      </c>
      <c r="C13" s="6" t="n">
        <v>0.1304</v>
      </c>
      <c r="D13" s="6" t="n">
        <v>0.0462</v>
      </c>
    </row>
    <row r="14">
      <c r="A14" s="4" t="n">
        <v>2024</v>
      </c>
      <c r="B14" s="5" t="n">
        <v>6.18</v>
      </c>
      <c r="C14" s="6" t="n">
        <v>0.1088</v>
      </c>
      <c r="D14" s="6" t="n">
        <v>0.0483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Dados Normalizados (Base 2015 = 100)</t>
        </is>
      </c>
    </row>
    <row r="3">
      <c r="A3" s="3" t="inlineStr">
        <is>
          <t>Ano</t>
        </is>
      </c>
      <c r="B3" s="3" t="inlineStr">
        <is>
          <t>Dólar</t>
        </is>
      </c>
      <c r="C3" s="3" t="inlineStr">
        <is>
          <t>CDI</t>
        </is>
      </c>
      <c r="D3" s="3" t="inlineStr">
        <is>
          <t>IPCA</t>
        </is>
      </c>
    </row>
    <row r="4">
      <c r="A4" s="4" t="n">
        <v>2015</v>
      </c>
      <c r="B4" s="4" t="n">
        <v>100</v>
      </c>
      <c r="C4" s="4" t="n">
        <v>100</v>
      </c>
      <c r="D4" s="4" t="n">
        <v>100</v>
      </c>
    </row>
    <row r="5">
      <c r="A5" s="4" t="n">
        <v>2016</v>
      </c>
      <c r="B5" s="4" t="n">
        <v>83.59999999999999</v>
      </c>
      <c r="C5" s="4" t="n">
        <v>105.7</v>
      </c>
      <c r="D5" s="4" t="n">
        <v>59</v>
      </c>
    </row>
    <row r="6">
      <c r="A6" s="4" t="n">
        <v>2017</v>
      </c>
      <c r="B6" s="4" t="n">
        <v>84.90000000000001</v>
      </c>
      <c r="C6" s="4" t="n">
        <v>74.90000000000001</v>
      </c>
      <c r="D6" s="4" t="n">
        <v>27.6</v>
      </c>
    </row>
    <row r="7">
      <c r="A7" s="4" t="n">
        <v>2018</v>
      </c>
      <c r="B7" s="4" t="n">
        <v>99.2</v>
      </c>
      <c r="C7" s="4" t="n">
        <v>48.5</v>
      </c>
      <c r="D7" s="4" t="n">
        <v>35.1</v>
      </c>
    </row>
    <row r="8">
      <c r="A8" s="4" t="n">
        <v>2019</v>
      </c>
      <c r="B8" s="4" t="n">
        <v>103.3</v>
      </c>
      <c r="C8" s="4" t="n">
        <v>44.9</v>
      </c>
      <c r="D8" s="4" t="n">
        <v>40.4</v>
      </c>
    </row>
    <row r="9">
      <c r="A9" s="4" t="n">
        <v>2020</v>
      </c>
      <c r="B9" s="4" t="n">
        <v>133.3</v>
      </c>
      <c r="C9" s="4" t="n">
        <v>20.8</v>
      </c>
      <c r="D9" s="4" t="n">
        <v>42.4</v>
      </c>
    </row>
    <row r="10">
      <c r="A10" s="4" t="n">
        <v>2021</v>
      </c>
      <c r="B10" s="4" t="n">
        <v>143.1</v>
      </c>
      <c r="C10" s="4" t="n">
        <v>33.3</v>
      </c>
      <c r="D10" s="4" t="n">
        <v>94.3</v>
      </c>
    </row>
    <row r="11">
      <c r="A11" s="4" t="n">
        <v>2022</v>
      </c>
      <c r="B11" s="4" t="n">
        <v>133.8</v>
      </c>
      <c r="C11" s="4" t="n">
        <v>93.40000000000001</v>
      </c>
      <c r="D11" s="4" t="n">
        <v>54.3</v>
      </c>
    </row>
    <row r="12">
      <c r="A12" s="4" t="n">
        <v>2023</v>
      </c>
      <c r="B12" s="4" t="n">
        <v>124.4</v>
      </c>
      <c r="C12" s="4" t="n">
        <v>98.3</v>
      </c>
      <c r="D12" s="4" t="n">
        <v>43.3</v>
      </c>
    </row>
    <row r="13">
      <c r="A13" s="4" t="n">
        <v>2024</v>
      </c>
      <c r="B13" s="4" t="n">
        <v>158.5</v>
      </c>
      <c r="C13" s="4" t="n">
        <v>82</v>
      </c>
      <c r="D13" s="4" t="n">
        <v>45.3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Análise dos Indicadores Econômicos</t>
        </is>
      </c>
    </row>
    <row r="3">
      <c r="A3" t="inlineStr"/>
    </row>
    <row r="4">
      <c r="A4" s="7" t="inlineStr">
        <is>
          <t>DÓLAR:</t>
        </is>
      </c>
    </row>
    <row r="5">
      <c r="A5" t="inlineStr">
        <is>
          <t>• Valorização de 58% entre 2015 e 2024</t>
        </is>
      </c>
    </row>
    <row r="6">
      <c r="A6" t="inlineStr">
        <is>
          <t>• Pico em 2024 (R$ 6,18) devido à instabilidade fiscal</t>
        </is>
      </c>
    </row>
    <row r="7">
      <c r="A7" t="inlineStr">
        <is>
          <t>• Maior salto em 2020 com a pandemia (+29%)</t>
        </is>
      </c>
    </row>
    <row r="8">
      <c r="A8" t="inlineStr"/>
    </row>
    <row r="9">
      <c r="A9" s="7" t="inlineStr">
        <is>
          <t>CDI:</t>
        </is>
      </c>
    </row>
    <row r="10">
      <c r="A10" t="inlineStr">
        <is>
          <t>• Variou de 2,76% (2020) a 14,02% (2016)</t>
        </is>
      </c>
    </row>
    <row r="11">
      <c r="A11" t="inlineStr">
        <is>
          <t>• Queda acentuada entre 2017-2020 (política monetária expansionista)</t>
        </is>
      </c>
    </row>
    <row r="12">
      <c r="A12" t="inlineStr">
        <is>
          <t>• Recuperação em 2022-2024 para combater inflação</t>
        </is>
      </c>
    </row>
    <row r="13">
      <c r="A13" t="inlineStr"/>
    </row>
    <row r="14">
      <c r="A14" s="7" t="inlineStr">
        <is>
          <t>IPCA (Inflação):</t>
        </is>
      </c>
    </row>
    <row r="15">
      <c r="A15" t="inlineStr">
        <is>
          <t>• Maior inflação em 2015 (10,67%) e 2021 (10,06%)</t>
        </is>
      </c>
    </row>
    <row r="16">
      <c r="A16" t="inlineStr">
        <is>
          <t>• Menor inflação em 2017 (2,95%)</t>
        </is>
      </c>
    </row>
    <row r="17">
      <c r="A17" t="inlineStr">
        <is>
          <t>• Meta de inflação: 3% a 4,5% ao ano</t>
        </is>
      </c>
    </row>
    <row r="18">
      <c r="A18" t="inlineStr"/>
    </row>
    <row r="19">
      <c r="A19" s="7" t="inlineStr">
        <is>
          <t>OBSERVAÇÕES:</t>
        </is>
      </c>
    </row>
    <row r="20">
      <c r="A20" t="inlineStr">
        <is>
          <t>• Juro real = CDI - IPCA</t>
        </is>
      </c>
    </row>
    <row r="21">
      <c r="A21" t="inlineStr">
        <is>
          <t>• Anos com juro real negativo: 2021 (CDI 4,42% &lt; IPCA 10,06%)</t>
        </is>
      </c>
    </row>
    <row r="22">
      <c r="A22" t="inlineStr">
        <is>
          <t>• Dólar alto beneficia exportadores, prejudica importadores</t>
        </is>
      </c>
    </row>
    <row r="23">
      <c r="A23" t="inlineStr"/>
    </row>
    <row r="24">
      <c r="A24" t="inlineStr">
        <is>
          <t>Fontes: Banco Central, IBGE, B3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2025-12-17T06:42:06Z</dcterms:created>
  <dcterms:modified xsi:type="dcterms:W3CDTF">2025-12-17T06:42:06Z</dcterms:modified>
</cp:coreProperties>
</file>